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One Drive\OneDrive\Desktop\"/>
    </mc:Choice>
  </mc:AlternateContent>
  <xr:revisionPtr revIDLastSave="0" documentId="13_ncr:1_{FD53BB0A-695B-4951-B32E-3799F2DF27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CS FDA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</calcChain>
</file>

<file path=xl/sharedStrings.xml><?xml version="1.0" encoding="utf-8"?>
<sst xmlns="http://schemas.openxmlformats.org/spreadsheetml/2006/main" count="69" uniqueCount="65">
  <si>
    <t>SL</t>
  </si>
  <si>
    <t xml:space="preserve">Ref No </t>
  </si>
  <si>
    <t>Port</t>
  </si>
  <si>
    <t>PIC</t>
  </si>
  <si>
    <t>Manager</t>
  </si>
  <si>
    <t>Target Time</t>
  </si>
  <si>
    <t>Vessel Name</t>
  </si>
  <si>
    <t>Activity</t>
  </si>
  <si>
    <t>Processing Status</t>
  </si>
  <si>
    <t>Ageing Days</t>
  </si>
  <si>
    <t>F- EPDA Value</t>
  </si>
  <si>
    <t>Client Name</t>
  </si>
  <si>
    <t>Advance</t>
  </si>
  <si>
    <t>Target Achievement</t>
  </si>
  <si>
    <t>Interest Loss</t>
  </si>
  <si>
    <t>ATA</t>
  </si>
  <si>
    <t>ATD</t>
  </si>
  <si>
    <t>Yes</t>
  </si>
  <si>
    <t>No</t>
  </si>
  <si>
    <t>Performance of PIC</t>
  </si>
  <si>
    <t>Poor</t>
  </si>
  <si>
    <t>Good</t>
  </si>
  <si>
    <t>Excellent</t>
  </si>
  <si>
    <t>Performance of Manager</t>
  </si>
  <si>
    <t xml:space="preserve">No of  Revisions </t>
  </si>
  <si>
    <t>Finance  ( Ageing)</t>
  </si>
  <si>
    <t>*Bunkering -15mins</t>
  </si>
  <si>
    <t>*Husbandry -Allocated by Manager ( Above 24 hrs to be approved by Management )</t>
  </si>
  <si>
    <t>*Cargo Call - 35 Minutes</t>
  </si>
  <si>
    <t>Forward Time  to Finance</t>
  </si>
  <si>
    <t>Rejection from Finance</t>
  </si>
  <si>
    <t>( Time / Date)</t>
  </si>
  <si>
    <t>1000hrs / Date</t>
  </si>
  <si>
    <t>1730 Hrs / Date</t>
  </si>
  <si>
    <t>Resubmission to Finance</t>
  </si>
  <si>
    <t>(Time /Date)</t>
  </si>
  <si>
    <t>Days</t>
  </si>
  <si>
    <t>Ratings (PIC)</t>
  </si>
  <si>
    <t>Ratings (Manager)</t>
  </si>
  <si>
    <t xml:space="preserve">Allocation </t>
  </si>
  <si>
    <t>(Time / Date)</t>
  </si>
  <si>
    <t>Time / Date</t>
  </si>
  <si>
    <t>PARADIP</t>
  </si>
  <si>
    <t>VN000863</t>
  </si>
  <si>
    <t>BUNKERING</t>
  </si>
  <si>
    <t>Rubicon Maritime India Pvt. Ltd</t>
  </si>
  <si>
    <t>DANNY</t>
  </si>
  <si>
    <t>ALDONA</t>
  </si>
  <si>
    <t>ABHILASH</t>
  </si>
  <si>
    <t>VN000853</t>
  </si>
  <si>
    <t>SOLIS</t>
  </si>
  <si>
    <t>VIZHINJAM</t>
  </si>
  <si>
    <t>GIOMACS</t>
  </si>
  <si>
    <t>JOY</t>
  </si>
  <si>
    <t>FDA SUBMITTED</t>
  </si>
  <si>
    <t>YES</t>
  </si>
  <si>
    <t>GOOD</t>
  </si>
  <si>
    <t>2 hrs</t>
  </si>
  <si>
    <t xml:space="preserve">RADIANT </t>
  </si>
  <si>
    <t>HUSBANDARY</t>
  </si>
  <si>
    <t>2 Hrs</t>
  </si>
  <si>
    <t>FDA PENDING WITH FINANCE</t>
  </si>
  <si>
    <t xml:space="preserve">Document Received </t>
  </si>
  <si>
    <t>DA Should be Allocated with 24 Hrs , (Above 24hrs to be approved by the Mgt with proper Jusification in Mail)</t>
  </si>
  <si>
    <t>18% OD Rate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</si>
</sst>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22" fontId="0" fillId="0" borderId="1" xfId="0" applyNumberFormat="1" applyBorder="1"/>
    <xf numFmtId="22" fontId="0" fillId="0" borderId="0" xfId="0" applyNumberFormat="1"/>
    <xf numFmtId="43" fontId="0" fillId="0" borderId="1" xfId="1" applyFont="1" applyBorder="1"/>
    <xf numFmtId="0" fontId="0" fillId="0" borderId="1" xfId="0" applyBorder="1" applyAlignment="1">
      <alignment horizontal="center"/>
    </xf>
    <xf numFmtId="4" fontId="0" fillId="0" borderId="1" xfId="0" applyNumberFormat="1" applyBorder="1"/>
    <xf numFmtId="0" fontId="5" fillId="2" borderId="0" xfId="0" applyFont="1" applyFill="1" applyAlignment="1">
      <alignment horizontal="center"/>
    </xf>
    <xf numFmtId="22" fontId="5" fillId="2" borderId="0" xfId="0" applyNumberFormat="1" applyFont="1" applyFill="1" applyAlignment="1">
      <alignment horizontal="center"/>
    </xf>
    <xf numFmtId="22" fontId="4" fillId="0" borderId="1" xfId="0" applyNumberFormat="1" applyFont="1" applyBorder="1"/>
    <xf numFmtId="0" fontId="4" fillId="2" borderId="0" xfId="0" applyFont="1" applyFill="1" applyAlignment="1">
      <alignment horizontal="center"/>
    </xf>
    <xf numFmtId="22" fontId="4" fillId="2" borderId="0" xfId="0" applyNumberFormat="1" applyFont="1" applyFill="1" applyAlignment="1">
      <alignment horizontal="center"/>
    </xf>
    <xf numFmtId="22" fontId="4" fillId="2" borderId="0" xfId="0" applyNumberFormat="1" applyFont="1" applyFill="1" applyAlignment="1">
      <alignment horizontal="center" wrapText="1"/>
    </xf>
    <xf numFmtId="22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wrapText="1"/>
    </xf>
  </cellXfs>
  <cellStyles count="2">
    <cellStyle name="Comma" xfId="1" builtinId="3"/>
    <cellStyle name="Normal" xfId="0" builtinId="0"/>
  </cellStyles>
  <dxfs count="2"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"/>
  <sheetViews>
    <sheetView tabSelected="1" topLeftCell="S1" zoomScale="85" zoomScaleNormal="85" workbookViewId="0">
      <selection activeCell="X10" sqref="X10"/>
    </sheetView>
  </sheetViews>
  <sheetFormatPr defaultRowHeight="14.5" x14ac:dyDescent="0.35"/>
  <cols>
    <col min="1" max="1" width="6.1796875" customWidth="1"/>
    <col min="2" max="2" width="9.90625" bestFit="1" customWidth="1"/>
    <col min="3" max="3" width="16.54296875" bestFit="1" customWidth="1"/>
    <col min="4" max="4" width="15.54296875" bestFit="1" customWidth="1"/>
    <col min="5" max="5" width="19.6328125" bestFit="1" customWidth="1"/>
    <col min="6" max="6" width="27.453125" bestFit="1" customWidth="1"/>
    <col min="7" max="7" width="9.453125" bestFit="1" customWidth="1"/>
    <col min="9" max="9" width="18.6328125" bestFit="1" customWidth="1"/>
    <col min="10" max="10" width="30.453125" style="6" bestFit="1" customWidth="1"/>
    <col min="11" max="11" width="19.81640625" customWidth="1"/>
    <col min="12" max="12" width="16.54296875" bestFit="1" customWidth="1"/>
    <col min="13" max="13" width="10.54296875" bestFit="1" customWidth="1"/>
    <col min="14" max="14" width="11.1796875" customWidth="1"/>
    <col min="15" max="15" width="10.81640625" bestFit="1" customWidth="1"/>
    <col min="16" max="17" width="14.6328125" bestFit="1" customWidth="1"/>
    <col min="18" max="18" width="17" customWidth="1"/>
    <col min="19" max="19" width="17.1796875" bestFit="1" customWidth="1"/>
    <col min="20" max="20" width="22" bestFit="1" customWidth="1"/>
    <col min="21" max="21" width="22" customWidth="1"/>
    <col min="22" max="22" width="15.54296875" customWidth="1"/>
    <col min="23" max="23" width="20.1796875" bestFit="1" customWidth="1"/>
    <col min="24" max="24" width="22.08984375" bestFit="1" customWidth="1"/>
    <col min="25" max="25" width="15.54296875" customWidth="1"/>
    <col min="26" max="26" width="14.36328125" customWidth="1"/>
    <col min="27" max="27" width="16.1796875" bestFit="1" customWidth="1"/>
    <col min="28" max="28" width="15.1796875" customWidth="1"/>
  </cols>
  <sheetData>
    <row r="1" spans="1:28" s="1" customFormat="1" x14ac:dyDescent="0.35">
      <c r="A1" s="2" t="s">
        <v>0</v>
      </c>
      <c r="B1" s="2" t="s">
        <v>1</v>
      </c>
      <c r="C1" s="2" t="s">
        <v>6</v>
      </c>
      <c r="D1" s="2" t="s">
        <v>2</v>
      </c>
      <c r="E1" s="2" t="s">
        <v>7</v>
      </c>
      <c r="F1" s="2" t="s">
        <v>11</v>
      </c>
      <c r="G1" s="2" t="s">
        <v>3</v>
      </c>
      <c r="H1" s="2" t="s">
        <v>4</v>
      </c>
      <c r="I1" s="10" t="s">
        <v>62</v>
      </c>
      <c r="J1" s="11" t="s">
        <v>39</v>
      </c>
      <c r="K1" s="2" t="s">
        <v>5</v>
      </c>
      <c r="L1" s="2" t="s">
        <v>8</v>
      </c>
      <c r="M1" s="2" t="s">
        <v>15</v>
      </c>
      <c r="N1" s="2" t="s">
        <v>16</v>
      </c>
      <c r="O1" s="2" t="s">
        <v>9</v>
      </c>
      <c r="P1" s="2" t="s">
        <v>10</v>
      </c>
      <c r="Q1" s="2" t="s">
        <v>12</v>
      </c>
      <c r="R1" s="2" t="s">
        <v>13</v>
      </c>
      <c r="S1" s="2" t="s">
        <v>19</v>
      </c>
      <c r="T1" s="2" t="s">
        <v>23</v>
      </c>
      <c r="U1" s="2" t="s">
        <v>29</v>
      </c>
      <c r="V1" s="2" t="s">
        <v>24</v>
      </c>
      <c r="W1" s="2" t="s">
        <v>30</v>
      </c>
      <c r="X1" s="2" t="s">
        <v>34</v>
      </c>
      <c r="Y1" s="2" t="s">
        <v>25</v>
      </c>
      <c r="Z1" s="2" t="s">
        <v>37</v>
      </c>
      <c r="AA1" s="2" t="s">
        <v>38</v>
      </c>
      <c r="AB1" s="2" t="s">
        <v>14</v>
      </c>
    </row>
    <row r="2" spans="1:28" s="1" customFormat="1" x14ac:dyDescent="0.35">
      <c r="I2" s="13" t="s">
        <v>40</v>
      </c>
      <c r="J2" s="14" t="s">
        <v>40</v>
      </c>
      <c r="K2" s="1" t="s">
        <v>26</v>
      </c>
      <c r="R2" s="1" t="s">
        <v>17</v>
      </c>
      <c r="S2" s="1" t="s">
        <v>22</v>
      </c>
      <c r="U2" s="1" t="s">
        <v>41</v>
      </c>
      <c r="W2" s="1" t="s">
        <v>31</v>
      </c>
      <c r="X2" s="1" t="s">
        <v>35</v>
      </c>
      <c r="Y2" s="1" t="s">
        <v>36</v>
      </c>
      <c r="Z2" s="1">
        <v>1</v>
      </c>
      <c r="AB2" s="2" t="s">
        <v>64</v>
      </c>
    </row>
    <row r="3" spans="1:28" s="1" customFormat="1" ht="58" x14ac:dyDescent="0.35">
      <c r="I3" s="13"/>
      <c r="J3" s="15" t="s">
        <v>63</v>
      </c>
      <c r="AB3" s="2"/>
    </row>
    <row r="4" spans="1:28" s="1" customFormat="1" ht="72.5" x14ac:dyDescent="0.35">
      <c r="J4" s="16" t="s">
        <v>32</v>
      </c>
      <c r="K4" s="17" t="s">
        <v>27</v>
      </c>
      <c r="R4" s="1" t="s">
        <v>18</v>
      </c>
      <c r="S4" s="1" t="s">
        <v>21</v>
      </c>
      <c r="Z4" s="1">
        <v>0</v>
      </c>
    </row>
    <row r="5" spans="1:28" s="1" customFormat="1" x14ac:dyDescent="0.35">
      <c r="J5" s="16" t="s">
        <v>33</v>
      </c>
      <c r="K5" s="1" t="s">
        <v>28</v>
      </c>
      <c r="S5" s="1" t="s">
        <v>20</v>
      </c>
      <c r="Z5" s="1">
        <v>-1</v>
      </c>
    </row>
    <row r="6" spans="1:28" x14ac:dyDescent="0.35">
      <c r="A6" s="8">
        <v>1</v>
      </c>
      <c r="B6" s="3" t="s">
        <v>49</v>
      </c>
      <c r="C6" s="3" t="s">
        <v>50</v>
      </c>
      <c r="D6" s="3" t="s">
        <v>51</v>
      </c>
      <c r="E6" s="3" t="s">
        <v>44</v>
      </c>
      <c r="F6" s="3" t="s">
        <v>52</v>
      </c>
      <c r="G6" s="3" t="s">
        <v>48</v>
      </c>
      <c r="H6" s="3" t="s">
        <v>53</v>
      </c>
      <c r="I6" s="3"/>
      <c r="J6" s="5">
        <v>46154.666666666664</v>
      </c>
      <c r="K6" s="8" t="s">
        <v>57</v>
      </c>
      <c r="L6" s="3" t="s">
        <v>54</v>
      </c>
      <c r="M6" s="3"/>
      <c r="N6" s="4">
        <v>46145</v>
      </c>
      <c r="O6" s="8">
        <v>10</v>
      </c>
      <c r="P6" s="7">
        <v>27669635</v>
      </c>
      <c r="Q6" s="7">
        <f>+ 12500000+ 4000000+ 11098835+ 70800</f>
        <v>27669635</v>
      </c>
      <c r="R6" s="3" t="s">
        <v>55</v>
      </c>
      <c r="S6" s="3" t="s">
        <v>56</v>
      </c>
      <c r="T6" s="3"/>
      <c r="U6" s="12">
        <v>46154.301388888889</v>
      </c>
      <c r="V6" s="3">
        <v>0</v>
      </c>
      <c r="W6" s="5">
        <v>46155.459027777775</v>
      </c>
      <c r="X6" s="5">
        <v>46155.645833333336</v>
      </c>
      <c r="Y6" s="3">
        <v>0</v>
      </c>
      <c r="Z6" s="3">
        <v>1</v>
      </c>
      <c r="AA6" s="3"/>
      <c r="AB6" s="3"/>
    </row>
    <row r="7" spans="1:28" x14ac:dyDescent="0.35">
      <c r="A7" s="8">
        <v>2</v>
      </c>
      <c r="B7" s="3" t="s">
        <v>43</v>
      </c>
      <c r="C7" s="3" t="s">
        <v>58</v>
      </c>
      <c r="D7" s="3" t="s">
        <v>42</v>
      </c>
      <c r="E7" s="3" t="s">
        <v>59</v>
      </c>
      <c r="F7" s="3" t="s">
        <v>45</v>
      </c>
      <c r="G7" s="3" t="s">
        <v>47</v>
      </c>
      <c r="H7" s="3" t="s">
        <v>46</v>
      </c>
      <c r="I7" s="3"/>
      <c r="J7" s="5">
        <v>46154.675000000003</v>
      </c>
      <c r="K7" s="8" t="s">
        <v>60</v>
      </c>
      <c r="L7" s="3" t="s">
        <v>61</v>
      </c>
      <c r="M7" s="4">
        <v>46141</v>
      </c>
      <c r="N7" s="4">
        <v>46142</v>
      </c>
      <c r="O7" s="8">
        <v>13</v>
      </c>
      <c r="P7" s="9">
        <v>209250</v>
      </c>
      <c r="Q7" s="3">
        <v>0</v>
      </c>
      <c r="R7" s="3" t="s">
        <v>55</v>
      </c>
      <c r="S7" s="3" t="s">
        <v>56</v>
      </c>
      <c r="T7" s="3" t="s">
        <v>56</v>
      </c>
      <c r="U7" s="5">
        <v>46155.540972222225</v>
      </c>
      <c r="V7" s="3"/>
      <c r="W7" s="3"/>
      <c r="X7" s="3"/>
      <c r="Y7" s="3"/>
      <c r="Z7" s="3"/>
      <c r="AA7" s="3"/>
      <c r="AB7" s="3"/>
    </row>
  </sheetData>
  <conditionalFormatting sqref="B6">
    <cfRule type="duplicateValues" dxfId="1" priority="21"/>
  </conditionalFormatting>
  <conditionalFormatting sqref="L6 J7 B6:J6">
    <cfRule type="containsText" dxfId="0" priority="11" operator="containsText" text="VESSEL ARRIVED">
      <formula>NOT(ISERROR(SEARCH("VESSEL ARRIVED",B6)))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WCS FDA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Reegesh</dc:creator>
  <cp:lastModifiedBy>Reegesh Ramakrishnan</cp:lastModifiedBy>
  <dcterms:created xsi:type="dcterms:W3CDTF">2015-06-05T18:17:20Z</dcterms:created>
  <dcterms:modified xsi:type="dcterms:W3CDTF">2026-05-14T07:25:33Z</dcterms:modified>
</cp:coreProperties>
</file>